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Matrix" sheetId="1" state="visible" r:id="rId3"/>
    <sheet name="Top 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<sst xmlns="http://schemas.openxmlformats.org/spreadsheetml/2006/main" count="37" uniqueCount="35">
  <si>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Travel Destination Weighted Decision Matrix</t>
  </si>
  <si>
    <t xml:space="preserve">Edit the blue weights (row 4) and blue scores (1-10, higher = better; Cost: higher = better value). Totals and ranks update automatically.</t>
  </si>
  <si>
    <t xml:space="preserve">Weight (%)</t>
  </si>
  <si>
    <t xml:space="preserve">Weights sum:</t>
  </si>
  <si>
    <t xml:space="preserve">Country</t>
  </si>
  <si>
    <t xml:space="preserve">Scenery &amp; nature</t>
  </si>
  <si>
    <t xml:space="preserve">Culture &amp; history</t>
  </si>
  <si>
    <t xml:space="preserve">Relaxation &amp; luxury</t>
  </si>
  <si>
    <t xml:space="preserve">Cost / value</t>
  </si>
  <si>
    <t xml:space="preserve">Ease of travel from Nairobi</t>
  </si>
  <si>
    <t xml:space="preserve">Safety &amp; health</t>
  </si>
  <si>
    <t xml:space="preserve">Microfinance relevance</t>
  </si>
  <si>
    <t xml:space="preserve">Weighted Total</t>
  </si>
  <si>
    <t xml:space="preserve">Rank</t>
  </si>
  <si>
    <t xml:space="preserve">Unique order (tie-break)</t>
  </si>
  <si>
    <t xml:space="preserve">India</t>
  </si>
  <si>
    <t xml:space="preserve">South Africa</t>
  </si>
  <si>
    <t xml:space="preserve">Egypt</t>
  </si>
  <si>
    <t xml:space="preserve">Japan</t>
  </si>
  <si>
    <t xml:space="preserve">Greece</t>
  </si>
  <si>
    <t xml:space="preserve">Nepal</t>
  </si>
  <si>
    <t xml:space="preserve">Italy</t>
  </si>
  <si>
    <t xml:space="preserve">Morocco</t>
  </si>
  <si>
    <t xml:space="preserve">Spain</t>
  </si>
  <si>
    <t xml:space="preserve">France</t>
  </si>
  <si>
    <t xml:space="preserve">Switzerland</t>
  </si>
  <si>
    <t xml:space="preserve">Scotland</t>
  </si>
  <si>
    <t xml:space="preserve">Bahamas</t>
  </si>
  <si>
    <t xml:space="preserve">Notes &amp; assumptions</t>
  </si>
  <si>
    <t xml:space="preserve">Scores are my subjective judgment for a male microfinance CEO travelling from Nairobi; not hard data.</t>
  </si>
  <si>
    <t xml:space="preserve">Initial weights are assumptions; adjust to your priorities.</t>
  </si>
  <si>
    <t xml:space="preserve">Check current visa rules for Kenyan passport holders before deciding.</t>
  </si>
  <si>
    <t xml:space="preserve">Top 5 (live)</t>
  </si>
  <si>
    <t xml:space="preserve">Score</t>
  </si>
  <si>
    <t xml:space="preserve">Ties are broken by list order (column K on the main sheet).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</si>
</sst>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3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20</v>
      </c>
      <c r="C4" s="4" t="n">
        <v>20</v>
      </c>
      <c r="D4" s="4" t="n">
        <v>15</v>
      </c>
      <c r="E4" s="4" t="n">
        <v>15</v>
      </c>
      <c r="F4" s="4" t="n">
        <v>15</v>
      </c>
      <c r="G4" s="4" t="n">
        <v>10</v>
      </c>
      <c r="H4" s="4" t="n">
        <v>5</v>
      </c>
      <c r="I4" s="5" t="s">
        <v>3</v>
      </c>
      <c r="J4" s="3" t="n">
        <f aca="false">SUM(B4:H4)</f>
        <v>100</v>
      </c>
      <c r="K4" s="6"/>
      <c r="L4" s="0" t="str">
        <f aca="false">IF(J4=100,"OK","Weights should total 100")</f>
        <v>OK</v>
      </c>
    </row>
    <row r="6" customFormat="false" ht="42" hidden="false" customHeight="true" outlineLevel="0" collapsed="false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 customFormat="false" ht="15" hidden="false" customHeight="false" outlineLevel="0" collapsed="false">
      <c r="A7" s="8" t="s">
        <v>15</v>
      </c>
      <c r="B7" s="9" t="n">
        <v>8</v>
      </c>
      <c r="C7" s="9" t="n">
        <v>10</v>
      </c>
      <c r="D7" s="9" t="n">
        <v>6</v>
      </c>
      <c r="E7" s="9" t="n">
        <v>9</v>
      </c>
      <c r="F7" s="9" t="n">
        <v>8</v>
      </c>
      <c r="G7" s="9" t="n">
        <v>6</v>
      </c>
      <c r="H7" s="9" t="n">
        <v>9</v>
      </c>
      <c r="I7" s="10" t="n">
        <f aca="false">SUMPRODUCT(B7:H7,$B$4:$H$4)/$J$4</f>
        <v>8.1</v>
      </c>
      <c r="J7" s="11" t="n">
        <f aca="false">RANK(I7,$I$7:$I$19)</f>
        <v>1</v>
      </c>
      <c r="K7" s="12" t="n">
        <f aca="false">J7+COUNTIF($I$7:I7,I7)-1</f>
        <v>1</v>
      </c>
    </row>
    <row r="8" customFormat="false" ht="15" hidden="false" customHeight="false" outlineLevel="0" collapsed="false">
      <c r="A8" s="8" t="s">
        <v>16</v>
      </c>
      <c r="B8" s="9" t="n">
        <v>9</v>
      </c>
      <c r="C8" s="9" t="n">
        <v>7</v>
      </c>
      <c r="D8" s="9" t="n">
        <v>8</v>
      </c>
      <c r="E8" s="9" t="n">
        <v>8</v>
      </c>
      <c r="F8" s="9" t="n">
        <v>10</v>
      </c>
      <c r="G8" s="9" t="n">
        <v>5</v>
      </c>
      <c r="H8" s="9" t="n">
        <v>5</v>
      </c>
      <c r="I8" s="10" t="n">
        <f aca="false">SUMPRODUCT(B8:H8,$B$4:$H$4)/$J$4</f>
        <v>7.85</v>
      </c>
      <c r="J8" s="11" t="n">
        <f aca="false">RANK(I8,$I$7:$I$19)</f>
        <v>2</v>
      </c>
      <c r="K8" s="12" t="n">
        <f aca="false">J8+COUNTIF($I$7:I8,I8)-1</f>
        <v>2</v>
      </c>
    </row>
    <row r="9" customFormat="false" ht="15" hidden="false" customHeight="false" outlineLevel="0" collapsed="false">
      <c r="A9" s="8" t="s">
        <v>17</v>
      </c>
      <c r="B9" s="9" t="n">
        <v>7</v>
      </c>
      <c r="C9" s="9" t="n">
        <v>10</v>
      </c>
      <c r="D9" s="9" t="n">
        <v>6</v>
      </c>
      <c r="E9" s="9" t="n">
        <v>8</v>
      </c>
      <c r="F9" s="9" t="n">
        <v>9</v>
      </c>
      <c r="G9" s="9" t="n">
        <v>6</v>
      </c>
      <c r="H9" s="9" t="n">
        <v>5</v>
      </c>
      <c r="I9" s="10" t="n">
        <f aca="false">SUMPRODUCT(B9:H9,$B$4:$H$4)/$J$4</f>
        <v>7.7</v>
      </c>
      <c r="J9" s="11" t="n">
        <f aca="false">RANK(I9,$I$7:$I$19)</f>
        <v>3</v>
      </c>
      <c r="K9" s="12" t="n">
        <f aca="false">J9+COUNTIF($I$7:I9,I9)-1</f>
        <v>3</v>
      </c>
    </row>
    <row r="10" customFormat="false" ht="15" hidden="false" customHeight="false" outlineLevel="0" collapsed="false">
      <c r="A10" s="8" t="s">
        <v>18</v>
      </c>
      <c r="B10" s="9" t="n">
        <v>9</v>
      </c>
      <c r="C10" s="9" t="n">
        <v>10</v>
      </c>
      <c r="D10" s="9" t="n">
        <v>7</v>
      </c>
      <c r="E10" s="9" t="n">
        <v>6</v>
      </c>
      <c r="F10" s="9" t="n">
        <v>5</v>
      </c>
      <c r="G10" s="9" t="n">
        <v>10</v>
      </c>
      <c r="H10" s="9" t="n">
        <v>4</v>
      </c>
      <c r="I10" s="10" t="n">
        <f aca="false">SUMPRODUCT(B10:H10,$B$4:$H$4)/$J$4</f>
        <v>7.7</v>
      </c>
      <c r="J10" s="11" t="n">
        <f aca="false">RANK(I10,$I$7:$I$19)</f>
        <v>3</v>
      </c>
      <c r="K10" s="12" t="n">
        <f aca="false">J10+COUNTIF($I$7:I10,I10)-1</f>
        <v>4</v>
      </c>
    </row>
    <row r="11" customFormat="false" ht="15" hidden="false" customHeight="false" outlineLevel="0" collapsed="false">
      <c r="A11" s="8" t="s">
        <v>19</v>
      </c>
      <c r="B11" s="9" t="n">
        <v>9</v>
      </c>
      <c r="C11" s="9" t="n">
        <v>9</v>
      </c>
      <c r="D11" s="9" t="n">
        <v>9</v>
      </c>
      <c r="E11" s="9" t="n">
        <v>6</v>
      </c>
      <c r="F11" s="9" t="n">
        <v>6</v>
      </c>
      <c r="G11" s="9" t="n">
        <v>8</v>
      </c>
      <c r="H11" s="9" t="n">
        <v>3</v>
      </c>
      <c r="I11" s="10" t="n">
        <f aca="false">SUMPRODUCT(B11:H11,$B$4:$H$4)/$J$4</f>
        <v>7.7</v>
      </c>
      <c r="J11" s="11" t="n">
        <f aca="false">RANK(I11,$I$7:$I$19)</f>
        <v>3</v>
      </c>
      <c r="K11" s="12" t="n">
        <f aca="false">J11+COUNTIF($I$7:I11,I11)-1</f>
        <v>5</v>
      </c>
    </row>
    <row r="12" customFormat="false" ht="15" hidden="false" customHeight="false" outlineLevel="0" collapsed="false">
      <c r="A12" s="8" t="s">
        <v>20</v>
      </c>
      <c r="B12" s="9" t="n">
        <v>10</v>
      </c>
      <c r="C12" s="9" t="n">
        <v>8</v>
      </c>
      <c r="D12" s="9" t="n">
        <v>5</v>
      </c>
      <c r="E12" s="9" t="n">
        <v>9</v>
      </c>
      <c r="F12" s="9" t="n">
        <v>6</v>
      </c>
      <c r="G12" s="9" t="n">
        <v>7</v>
      </c>
      <c r="H12" s="9" t="n">
        <v>7</v>
      </c>
      <c r="I12" s="10" t="n">
        <f aca="false">SUMPRODUCT(B12:H12,$B$4:$H$4)/$J$4</f>
        <v>7.65</v>
      </c>
      <c r="J12" s="11" t="n">
        <f aca="false">RANK(I12,$I$7:$I$19)</f>
        <v>6</v>
      </c>
      <c r="K12" s="12" t="n">
        <f aca="false">J12+COUNTIF($I$7:I12,I12)-1</f>
        <v>6</v>
      </c>
    </row>
    <row r="13" customFormat="false" ht="15" hidden="false" customHeight="false" outlineLevel="0" collapsed="false">
      <c r="A13" s="8" t="s">
        <v>21</v>
      </c>
      <c r="B13" s="9" t="n">
        <v>8</v>
      </c>
      <c r="C13" s="9" t="n">
        <v>10</v>
      </c>
      <c r="D13" s="9" t="n">
        <v>8</v>
      </c>
      <c r="E13" s="9" t="n">
        <v>5</v>
      </c>
      <c r="F13" s="9" t="n">
        <v>6</v>
      </c>
      <c r="G13" s="9" t="n">
        <v>8</v>
      </c>
      <c r="H13" s="9" t="n">
        <v>5</v>
      </c>
      <c r="I13" s="10" t="n">
        <f aca="false">SUMPRODUCT(B13:H13,$B$4:$H$4)/$J$4</f>
        <v>7.5</v>
      </c>
      <c r="J13" s="11" t="n">
        <f aca="false">RANK(I13,$I$7:$I$19)</f>
        <v>7</v>
      </c>
      <c r="K13" s="12" t="n">
        <f aca="false">J13+COUNTIF($I$7:I13,I13)-1</f>
        <v>7</v>
      </c>
    </row>
    <row r="14" customFormat="false" ht="15" hidden="false" customHeight="false" outlineLevel="0" collapsed="false">
      <c r="A14" s="8" t="s">
        <v>22</v>
      </c>
      <c r="B14" s="9" t="n">
        <v>8</v>
      </c>
      <c r="C14" s="9" t="n">
        <v>9</v>
      </c>
      <c r="D14" s="9" t="n">
        <v>7</v>
      </c>
      <c r="E14" s="9" t="n">
        <v>8</v>
      </c>
      <c r="F14" s="9" t="n">
        <v>5</v>
      </c>
      <c r="G14" s="9" t="n">
        <v>7</v>
      </c>
      <c r="H14" s="9" t="n">
        <v>6</v>
      </c>
      <c r="I14" s="10" t="n">
        <f aca="false">SUMPRODUCT(B14:H14,$B$4:$H$4)/$J$4</f>
        <v>7.4</v>
      </c>
      <c r="J14" s="11" t="n">
        <f aca="false">RANK(I14,$I$7:$I$19)</f>
        <v>8</v>
      </c>
      <c r="K14" s="12" t="n">
        <f aca="false">J14+COUNTIF($I$7:I14,I14)-1</f>
        <v>8</v>
      </c>
    </row>
    <row r="15" customFormat="false" ht="15" hidden="false" customHeight="false" outlineLevel="0" collapsed="false">
      <c r="A15" s="8" t="s">
        <v>23</v>
      </c>
      <c r="B15" s="9" t="n">
        <v>8</v>
      </c>
      <c r="C15" s="9" t="n">
        <v>9</v>
      </c>
      <c r="D15" s="9" t="n">
        <v>8</v>
      </c>
      <c r="E15" s="9" t="n">
        <v>6</v>
      </c>
      <c r="F15" s="9" t="n">
        <v>6</v>
      </c>
      <c r="G15" s="9" t="n">
        <v>8</v>
      </c>
      <c r="H15" s="9" t="n">
        <v>3</v>
      </c>
      <c r="I15" s="10" t="n">
        <f aca="false">SUMPRODUCT(B15:H15,$B$4:$H$4)/$J$4</f>
        <v>7.35</v>
      </c>
      <c r="J15" s="11" t="n">
        <f aca="false">RANK(I15,$I$7:$I$19)</f>
        <v>9</v>
      </c>
      <c r="K15" s="12" t="n">
        <f aca="false">J15+COUNTIF($I$7:I15,I15)-1</f>
        <v>9</v>
      </c>
    </row>
    <row r="16" customFormat="false" ht="15" hidden="false" customHeight="false" outlineLevel="0" collapsed="false">
      <c r="A16" s="8" t="s">
        <v>24</v>
      </c>
      <c r="B16" s="9" t="n">
        <v>8</v>
      </c>
      <c r="C16" s="9" t="n">
        <v>9</v>
      </c>
      <c r="D16" s="9" t="n">
        <v>8</v>
      </c>
      <c r="E16" s="9" t="n">
        <v>4</v>
      </c>
      <c r="F16" s="9" t="n">
        <v>7</v>
      </c>
      <c r="G16" s="9" t="n">
        <v>7</v>
      </c>
      <c r="H16" s="9" t="n">
        <v>6</v>
      </c>
      <c r="I16" s="10" t="n">
        <f aca="false">SUMPRODUCT(B16:H16,$B$4:$H$4)/$J$4</f>
        <v>7.25</v>
      </c>
      <c r="J16" s="11" t="n">
        <f aca="false">RANK(I16,$I$7:$I$19)</f>
        <v>10</v>
      </c>
      <c r="K16" s="12" t="n">
        <f aca="false">J16+COUNTIF($I$7:I16,I16)-1</f>
        <v>10</v>
      </c>
    </row>
    <row r="17" customFormat="false" ht="15" hidden="false" customHeight="false" outlineLevel="0" collapsed="false">
      <c r="A17" s="8" t="s">
        <v>25</v>
      </c>
      <c r="B17" s="9" t="n">
        <v>10</v>
      </c>
      <c r="C17" s="9" t="n">
        <v>6</v>
      </c>
      <c r="D17" s="9" t="n">
        <v>9</v>
      </c>
      <c r="E17" s="9" t="n">
        <v>2</v>
      </c>
      <c r="F17" s="9" t="n">
        <v>6</v>
      </c>
      <c r="G17" s="9" t="n">
        <v>10</v>
      </c>
      <c r="H17" s="9" t="n">
        <v>8</v>
      </c>
      <c r="I17" s="10" t="n">
        <f aca="false">SUMPRODUCT(B17:H17,$B$4:$H$4)/$J$4</f>
        <v>7.15</v>
      </c>
      <c r="J17" s="11" t="n">
        <f aca="false">RANK(I17,$I$7:$I$19)</f>
        <v>11</v>
      </c>
      <c r="K17" s="12" t="n">
        <f aca="false">J17+COUNTIF($I$7:I17,I17)-1</f>
        <v>11</v>
      </c>
    </row>
    <row r="18" customFormat="false" ht="15" hidden="false" customHeight="false" outlineLevel="0" collapsed="false">
      <c r="A18" s="8" t="s">
        <v>26</v>
      </c>
      <c r="B18" s="9" t="n">
        <v>9</v>
      </c>
      <c r="C18" s="9" t="n">
        <v>7</v>
      </c>
      <c r="D18" s="9" t="n">
        <v>6</v>
      </c>
      <c r="E18" s="9" t="n">
        <v>5</v>
      </c>
      <c r="F18" s="9" t="n">
        <v>5</v>
      </c>
      <c r="G18" s="9" t="n">
        <v>9</v>
      </c>
      <c r="H18" s="9" t="n">
        <v>3</v>
      </c>
      <c r="I18" s="10" t="n">
        <f aca="false">SUMPRODUCT(B18:H18,$B$4:$H$4)/$J$4</f>
        <v>6.65</v>
      </c>
      <c r="J18" s="11" t="n">
        <f aca="false">RANK(I18,$I$7:$I$19)</f>
        <v>12</v>
      </c>
      <c r="K18" s="12" t="n">
        <f aca="false">J18+COUNTIF($I$7:I18,I18)-1</f>
        <v>12</v>
      </c>
    </row>
    <row r="19" customFormat="false" ht="15" hidden="false" customHeight="false" outlineLevel="0" collapsed="false">
      <c r="A19" s="8" t="s">
        <v>27</v>
      </c>
      <c r="B19" s="9" t="n">
        <v>8</v>
      </c>
      <c r="C19" s="9" t="n">
        <v>4</v>
      </c>
      <c r="D19" s="9" t="n">
        <v>10</v>
      </c>
      <c r="E19" s="9" t="n">
        <v>3</v>
      </c>
      <c r="F19" s="9" t="n">
        <v>3</v>
      </c>
      <c r="G19" s="9" t="n">
        <v>6</v>
      </c>
      <c r="H19" s="9" t="n">
        <v>2</v>
      </c>
      <c r="I19" s="10" t="n">
        <f aca="false">SUMPRODUCT(B19:H19,$B$4:$H$4)/$J$4</f>
        <v>5.5</v>
      </c>
      <c r="J19" s="11" t="n">
        <f aca="false">RANK(I19,$I$7:$I$19)</f>
        <v>13</v>
      </c>
      <c r="K19" s="12" t="n">
        <f aca="false">J19+COUNTIF($I$7:I19,I19)-1</f>
        <v>13</v>
      </c>
    </row>
    <row r="21" customFormat="false" ht="15" hidden="false" customHeight="false" outlineLevel="0" collapsed="false">
      <c r="A21" s="3" t="s">
        <v>28</v>
      </c>
    </row>
    <row r="22" customFormat="false" ht="15" hidden="false" customHeight="false" outlineLevel="0" collapsed="false">
      <c r="A22" s="13" t="s">
        <v>29</v>
      </c>
    </row>
    <row r="23" customFormat="false" ht="15" hidden="false" customHeight="false" outlineLevel="0" collapsed="false">
      <c r="A23" s="13" t="s">
        <v>30</v>
      </c>
    </row>
    <row r="24" customFormat="false" ht="15" hidden="false" customHeight="false" outlineLevel="0" collapsed="false">
      <c r="A24" s="13" t="s">
        <v>31</v>
      </c>
    </row>
  </sheetData>
  <conditionalFormatting sqref="I7:I19">
    <cfRule type="colorScale" priority="2">
      <colorScale>
        <cfvo type="min" val="0"/>
        <cfvo type="max" val="0"/>
        <color rgb="FFF8CBAD"/>
        <color rgb="FFA9D0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14" t="s">
        <v>13</v>
      </c>
      <c r="B3" s="14" t="s">
        <v>4</v>
      </c>
      <c r="C3" s="14" t="s">
        <v>33</v>
      </c>
    </row>
    <row r="4" customFormat="false" ht="15" hidden="false" customHeight="false" outlineLevel="0" collapsed="false">
      <c r="A4" s="15" t="n">
        <v>1</v>
      </c>
      <c r="B4" s="3" t="str">
        <f aca="false">INDEX('Decision Matrix'!$A$7:$A$19,MATCH(A4,'Decision Matrix'!$K$7:$K$19,0))</f>
        <v>India</v>
      </c>
      <c r="C4" s="16" t="n">
        <f aca="false">INDEX('Decision Matrix'!$I$7:$I$19,MATCH(A4,'Decision Matrix'!$K$7:$K$19,0))</f>
        <v>8.1</v>
      </c>
    </row>
    <row r="5" customFormat="false" ht="15" hidden="false" customHeight="false" outlineLevel="0" collapsed="false">
      <c r="A5" s="15" t="n">
        <v>2</v>
      </c>
      <c r="B5" s="3" t="str">
        <f aca="false">INDEX('Decision Matrix'!$A$7:$A$19,MATCH(A5,'Decision Matrix'!$K$7:$K$19,0))</f>
        <v>South Africa</v>
      </c>
      <c r="C5" s="16" t="n">
        <f aca="false">INDEX('Decision Matrix'!$I$7:$I$19,MATCH(A5,'Decision Matrix'!$K$7:$K$19,0))</f>
        <v>7.85</v>
      </c>
    </row>
    <row r="6" customFormat="false" ht="15" hidden="false" customHeight="false" outlineLevel="0" collapsed="false">
      <c r="A6" s="15" t="n">
        <v>3</v>
      </c>
      <c r="B6" s="3" t="str">
        <f aca="false">INDEX('Decision Matrix'!$A$7:$A$19,MATCH(A6,'Decision Matrix'!$K$7:$K$19,0))</f>
        <v>Egypt</v>
      </c>
      <c r="C6" s="16" t="n">
        <f aca="false">INDEX('Decision Matrix'!$I$7:$I$19,MATCH(A6,'Decision Matrix'!$K$7:$K$19,0))</f>
        <v>7.7</v>
      </c>
    </row>
    <row r="7" customFormat="false" ht="15" hidden="false" customHeight="false" outlineLevel="0" collapsed="false">
      <c r="A7" s="15" t="n">
        <v>4</v>
      </c>
      <c r="B7" s="3" t="str">
        <f aca="false">INDEX('Decision Matrix'!$A$7:$A$19,MATCH(A7,'Decision Matrix'!$K$7:$K$19,0))</f>
        <v>Japan</v>
      </c>
      <c r="C7" s="16" t="n">
        <f aca="false">INDEX('Decision Matrix'!$I$7:$I$19,MATCH(A7,'Decision Matrix'!$K$7:$K$19,0))</f>
        <v>7.7</v>
      </c>
    </row>
    <row r="8" customFormat="false" ht="15" hidden="false" customHeight="false" outlineLevel="0" collapsed="false">
      <c r="A8" s="15" t="n">
        <v>5</v>
      </c>
      <c r="B8" s="3" t="str">
        <f aca="false">INDEX('Decision Matrix'!$A$7:$A$19,MATCH(A8,'Decision Matrix'!$K$7:$K$19,0))</f>
        <v>Greece</v>
      </c>
      <c r="C8" s="16" t="n">
        <f aca="false">INDEX('Decision Matrix'!$I$7:$I$19,MATCH(A8,'Decision Matrix'!$K$7:$K$19,0))</f>
        <v>7.7</v>
      </c>
    </row>
    <row r="10" customFormat="false" ht="15" hidden="false" customHeight="false" outlineLevel="0" collapsed="false">
      <c r="A10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2026-10-23T16:59:21Z</dcterms:created>
  <dc:creator>openpyxl</dc:creator>
  <dc:description/>
  <dc:language>en-US</dc:language>
  <cp:lastModifiedBy/>
  <dcterms:modified xsi:type="dcterms:W3CDTF">2026-10-23T16:59:21Z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